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IRDA\2026\Daily Tax Report\09. September\"/>
    </mc:Choice>
  </mc:AlternateContent>
  <xr:revisionPtr revIDLastSave="0" documentId="13_ncr:1_{45C21108-34B3-4E29-9A38-169E1FC447A0}" xr6:coauthVersionLast="47" xr6:coauthVersionMax="47" xr10:uidLastSave="{00000000-0000-0000-0000-000000000000}"/>
  <bookViews>
    <workbookView xWindow="-120" yWindow="-120" windowWidth="19620" windowHeight="11760" activeTab="1" xr2:uid="{CE5FBDE4-06DA-4834-A0C7-6968C75D15F2}"/>
  </bookViews>
  <sheets>
    <sheet name="TO 010926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2" l="1"/>
  <c r="D10" i="2"/>
  <c r="E10" i="2"/>
  <c r="F10" i="2"/>
  <c r="B10" i="2"/>
  <c r="C7" i="2"/>
  <c r="D7" i="2"/>
  <c r="E7" i="2"/>
  <c r="F7" i="2"/>
  <c r="F9" i="2" s="1"/>
  <c r="B7" i="2"/>
  <c r="B9" i="2" s="1"/>
  <c r="C8" i="2"/>
  <c r="C9" i="2"/>
  <c r="D8" i="2" l="1"/>
  <c r="D9" i="2" s="1"/>
  <c r="B4" i="1"/>
  <c r="E8" i="2" l="1"/>
  <c r="E9" i="2" s="1"/>
</calcChain>
</file>

<file path=xl/sharedStrings.xml><?xml version="1.0" encoding="utf-8"?>
<sst xmlns="http://schemas.openxmlformats.org/spreadsheetml/2006/main" count="250" uniqueCount="106">
  <si>
    <t>_x001B_M_x000F_</t>
  </si>
  <si>
    <t>K-Gal</t>
  </si>
  <si>
    <t>lery Hotel (Pasuruan-Jawa</t>
  </si>
  <si>
    <t>Timur)</t>
  </si>
  <si>
    <t>Page   :</t>
  </si>
  <si>
    <t>Jl. D</t>
  </si>
  <si>
    <t>ESA DUREN SEWU KM.3</t>
  </si>
  <si>
    <t>Period :</t>
  </si>
  <si>
    <t>01/09/26 - 01/0</t>
  </si>
  <si>
    <t>Tel</t>
  </si>
  <si>
    <t>Date   : 0</t>
  </si>
  <si>
    <t>F/O T</t>
  </si>
  <si>
    <t>urnover Report by Departm</t>
  </si>
  <si>
    <t>ent</t>
  </si>
  <si>
    <t>Art</t>
  </si>
  <si>
    <t>Description</t>
  </si>
  <si>
    <t>Day-qty</t>
  </si>
  <si>
    <t>Day-Nett</t>
  </si>
  <si>
    <t>Service</t>
  </si>
  <si>
    <t>Tax</t>
  </si>
  <si>
    <t>Day-Gros</t>
  </si>
  <si>
    <t>(%)</t>
  </si>
  <si>
    <t>MTD-qty</t>
  </si>
  <si>
    <t>MTD-Nett</t>
  </si>
  <si>
    <t>MTD-Gros</t>
  </si>
  <si>
    <t>YTD-qty</t>
  </si>
  <si>
    <t>YTD-Nett</t>
  </si>
  <si>
    <t>YTD-Gro</t>
  </si>
  <si>
    <t>-----</t>
  </si>
  <si>
    <t>-------------------------</t>
  </si>
  <si>
    <t>--------</t>
  </si>
  <si>
    <t>---------------------</t>
  </si>
  <si>
    <t>--------------------</t>
  </si>
  <si>
    <t>----------</t>
  </si>
  <si>
    <t>---------</t>
  </si>
  <si>
    <t>-----------------------</t>
  </si>
  <si>
    <t>-----------------</t>
  </si>
  <si>
    <t>0 - FRONT OFFICE</t>
  </si>
  <si>
    <t>Lodging (Room Revenue)</t>
  </si>
  <si>
    <t>Extra Bed Only</t>
  </si>
  <si>
    <t>Additional Room</t>
  </si>
  <si>
    <t>Early C/I</t>
  </si>
  <si>
    <t>Late C/O</t>
  </si>
  <si>
    <t>BC Printing &amp; Photocopy</t>
  </si>
  <si>
    <t>Transportation Revenue</t>
  </si>
  <si>
    <t>Laundry</t>
  </si>
  <si>
    <t>Massage</t>
  </si>
  <si>
    <t>Loss &amp; Breakage</t>
  </si>
  <si>
    <t>T O T A L</t>
  </si>
  <si>
    <t>1 - PREGO</t>
  </si>
  <si>
    <t>Food PREEGO</t>
  </si>
  <si>
    <t>Beverage PREEGO</t>
  </si>
  <si>
    <t>B'fast PREEGO</t>
  </si>
  <si>
    <t>Dinner PREEGO</t>
  </si>
  <si>
    <t>Pastry &amp; Bakery</t>
  </si>
  <si>
    <t>Other PREEGO</t>
  </si>
  <si>
    <t>Other REST No Serv</t>
  </si>
  <si>
    <t>test beverage oppa</t>
  </si>
  <si>
    <t>Disc Food PREEGO</t>
  </si>
  <si>
    <t>Disc Bev PREEGO</t>
  </si>
  <si>
    <t>2 - KFOOD-HANBOK-CANTEEN</t>
  </si>
  <si>
    <t>Food OPPA KFOOD</t>
  </si>
  <si>
    <t>Beverage OPPA KFOOD</t>
  </si>
  <si>
    <t>Other OPPA KFOOD</t>
  </si>
  <si>
    <t>Disc Food OPPA KFOOD</t>
  </si>
  <si>
    <t>Disc Bev OPPA KFOOD</t>
  </si>
  <si>
    <t>3 - RESTO PADI - C&amp;C-FAR</t>
  </si>
  <si>
    <t>Food Resto Padi</t>
  </si>
  <si>
    <t>Beverage Resto padi</t>
  </si>
  <si>
    <t>Food C &amp; C</t>
  </si>
  <si>
    <t>Beverage C &amp; C</t>
  </si>
  <si>
    <t>FOOD ZONE</t>
  </si>
  <si>
    <t>MP OPPA K FOOD</t>
  </si>
  <si>
    <t>Disc Food Resto padi</t>
  </si>
  <si>
    <t>Disc Bev Resto padi</t>
  </si>
  <si>
    <t>4 - ACTIVITY &amp; GATE  - F</t>
  </si>
  <si>
    <t>Farm Vegetable Revenue</t>
  </si>
  <si>
    <t>Farm Fruit Revenue</t>
  </si>
  <si>
    <t>Farm Edufarm Revenue</t>
  </si>
  <si>
    <t>Farm Herbal Revenue</t>
  </si>
  <si>
    <t>Farm Product Prooses</t>
  </si>
  <si>
    <t>Farm Other Revenue</t>
  </si>
  <si>
    <t>Farm Nursery Revenue</t>
  </si>
  <si>
    <t>Activity Entry Gate</t>
  </si>
  <si>
    <t>Activity Parking</t>
  </si>
  <si>
    <t>Activity Sport</t>
  </si>
  <si>
    <t>Activity Nature</t>
  </si>
  <si>
    <t>Activity Culture</t>
  </si>
  <si>
    <t>Activity Outbound</t>
  </si>
  <si>
    <t>Activity Tour</t>
  </si>
  <si>
    <t>Activity Education</t>
  </si>
  <si>
    <t>Activity Merchandise</t>
  </si>
  <si>
    <t>Activity Other Revenue</t>
  </si>
  <si>
    <t>Disc ACTIVITY</t>
  </si>
  <si>
    <t>Disc Farm</t>
  </si>
  <si>
    <t>Disc waterslide</t>
  </si>
  <si>
    <t>11 - BANQUET</t>
  </si>
  <si>
    <t>Food BANQUET</t>
  </si>
  <si>
    <t>Beverage BANQUET</t>
  </si>
  <si>
    <t>Other BANQUET</t>
  </si>
  <si>
    <t>Room Rental</t>
  </si>
  <si>
    <t>GRAND TOTAL</t>
  </si>
  <si>
    <t>_x000C_</t>
  </si>
  <si>
    <t>------------------------------</t>
  </si>
  <si>
    <t>Kgallery hotel</t>
  </si>
  <si>
    <t>Glamping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</si>
</sst>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16" fontId="0" fillId="0" borderId="0" xfId="0" applyNumberFormat="1"/>
    <xf numFmtId="22" fontId="0" fillId="0" borderId="0" xfId="0" applyNumberFormat="1"/>
    <xf numFmtId="3" fontId="0" fillId="0" borderId="0" xfId="0" applyNumberFormat="1"/>
    <xf numFmtId="41" fontId="0" fillId="0" borderId="0" xfId="1" applyFont="1"/>
    <xf numFmtId="41" fontId="2" fillId="0" borderId="0" xfId="1" applyFont="1"/>
    <xf numFmtId="164" fontId="0" fillId="0" borderId="0" xfId="0" applyNumberForma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676C-6926-4FB7-A065-0762900AF14A}">
  <dimension ref="A1:U92"/>
  <sheetViews>
    <sheetView zoomScale="62" zoomScaleNormal="62" workbookViewId="0">
      <selection activeCell="E51" sqref="E51"/>
    </sheetView>
  </sheetViews>
  <sheetFormatPr defaultRowHeight="15.75" customHeight="1" x14ac:dyDescent="0.25"/>
  <cols>
    <col min="1" max="1" width="6.5703125" bestFit="1" customWidth="1"/>
    <col min="2" max="2" width="32.5703125" bestFit="1" customWidth="1"/>
    <col min="3" max="3" width="8.28515625" bestFit="1" customWidth="1"/>
    <col min="4" max="4" width="16.42578125" bestFit="1" customWidth="1"/>
    <col min="5" max="7" width="15.7109375" bestFit="1" customWidth="1"/>
    <col min="8" max="8" width="8.28515625" bestFit="1" customWidth="1"/>
    <col min="9" max="9" width="9.42578125" bestFit="1" customWidth="1"/>
    <col min="10" max="10" width="16.42578125" bestFit="1" customWidth="1"/>
    <col min="11" max="13" width="15.7109375" bestFit="1" customWidth="1"/>
    <col min="14" max="14" width="8.28515625" bestFit="1" customWidth="1"/>
    <col min="15" max="15" width="9.140625" bestFit="1" customWidth="1"/>
    <col min="16" max="16" width="17.85546875" bestFit="1" customWidth="1"/>
    <col min="17" max="18" width="15.7109375" bestFit="1" customWidth="1"/>
    <col min="19" max="19" width="13.5703125" bestFit="1" customWidth="1"/>
    <col min="20" max="20" width="6.5703125" bestFit="1" customWidth="1"/>
    <col min="21" max="21" width="2.28515625" bestFit="1" customWidth="1"/>
  </cols>
  <sheetData>
    <row r="1" spans="1:21" ht="15" x14ac:dyDescent="0.25">
      <c r="A1" t="s">
        <v>0</v>
      </c>
    </row>
    <row r="2" spans="1:21" ht="15" x14ac:dyDescent="0.25">
      <c r="A2" t="s">
        <v>1</v>
      </c>
      <c r="B2" t="s">
        <v>2</v>
      </c>
      <c r="C2" t="s">
        <v>3</v>
      </c>
      <c r="L2" t="s">
        <v>4</v>
      </c>
      <c r="M2">
        <v>1</v>
      </c>
    </row>
    <row r="3" spans="1:21" ht="15" x14ac:dyDescent="0.25">
      <c r="A3" t="s">
        <v>5</v>
      </c>
      <c r="B3" t="s">
        <v>6</v>
      </c>
      <c r="L3" t="s">
        <v>7</v>
      </c>
      <c r="M3" t="s">
        <v>8</v>
      </c>
      <c r="N3" s="1">
        <v>46291</v>
      </c>
    </row>
    <row r="4" spans="1:21" ht="15" x14ac:dyDescent="0.25">
      <c r="A4" t="s">
        <v>9</v>
      </c>
      <c r="B4">
        <f>62-343-636-634</f>
        <v>-1551</v>
      </c>
      <c r="L4" t="s">
        <v>10</v>
      </c>
      <c r="M4" s="2">
        <v>46062.354930555557</v>
      </c>
    </row>
    <row r="5" spans="1:21" ht="15" x14ac:dyDescent="0.25"/>
    <row r="6" spans="1:21" ht="15" x14ac:dyDescent="0.25">
      <c r="A6" t="s">
        <v>11</v>
      </c>
      <c r="B6" t="s">
        <v>12</v>
      </c>
      <c r="C6" t="s">
        <v>13</v>
      </c>
    </row>
    <row r="8" spans="1:21" ht="15" x14ac:dyDescent="0.25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18</v>
      </c>
      <c r="L8" t="s">
        <v>19</v>
      </c>
      <c r="M8" t="s">
        <v>24</v>
      </c>
      <c r="N8" t="s">
        <v>21</v>
      </c>
      <c r="O8" t="s">
        <v>25</v>
      </c>
      <c r="P8" t="s">
        <v>26</v>
      </c>
      <c r="Q8" t="s">
        <v>18</v>
      </c>
      <c r="R8" t="s">
        <v>19</v>
      </c>
      <c r="S8" t="s">
        <v>27</v>
      </c>
    </row>
    <row r="9" spans="1:21" ht="15" x14ac:dyDescent="0.25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32</v>
      </c>
      <c r="G9" t="s">
        <v>32</v>
      </c>
      <c r="H9" t="s">
        <v>33</v>
      </c>
      <c r="I9" t="s">
        <v>34</v>
      </c>
      <c r="J9" t="s">
        <v>31</v>
      </c>
      <c r="K9" t="s">
        <v>32</v>
      </c>
      <c r="L9" t="s">
        <v>32</v>
      </c>
      <c r="M9" t="s">
        <v>32</v>
      </c>
      <c r="N9" t="s">
        <v>33</v>
      </c>
      <c r="O9" t="s">
        <v>34</v>
      </c>
      <c r="P9" t="s">
        <v>35</v>
      </c>
      <c r="Q9" t="s">
        <v>32</v>
      </c>
      <c r="R9" t="s">
        <v>32</v>
      </c>
      <c r="S9" t="s">
        <v>36</v>
      </c>
    </row>
    <row r="10" spans="1:21" ht="15" x14ac:dyDescent="0.25">
      <c r="B10" t="s">
        <v>37</v>
      </c>
    </row>
    <row r="11" spans="1:21" ht="15" x14ac:dyDescent="0.25">
      <c r="A11">
        <v>100</v>
      </c>
      <c r="B11" t="s">
        <v>38</v>
      </c>
      <c r="C11">
        <v>1</v>
      </c>
      <c r="D11" s="3">
        <v>628099</v>
      </c>
      <c r="E11" s="3">
        <v>62810</v>
      </c>
      <c r="F11" s="3">
        <v>69091</v>
      </c>
      <c r="G11" s="3">
        <v>760000</v>
      </c>
      <c r="H11">
        <v>49.51</v>
      </c>
      <c r="I11">
        <v>1</v>
      </c>
      <c r="J11" s="3">
        <v>628099</v>
      </c>
      <c r="K11" s="3">
        <v>62810</v>
      </c>
      <c r="L11" s="3">
        <v>69091</v>
      </c>
      <c r="M11" s="3">
        <v>760000</v>
      </c>
      <c r="N11">
        <v>49.51</v>
      </c>
      <c r="O11">
        <v>2458</v>
      </c>
      <c r="P11" s="3">
        <v>1775811460</v>
      </c>
      <c r="Q11" s="3">
        <v>177581146</v>
      </c>
      <c r="R11" s="3">
        <v>195339260</v>
      </c>
      <c r="S11" s="3">
        <v>2148731864</v>
      </c>
      <c r="T11">
        <v>92.71</v>
      </c>
      <c r="U11">
        <v>0</v>
      </c>
    </row>
    <row r="12" spans="1:21" ht="15" x14ac:dyDescent="0.25">
      <c r="A12">
        <v>110</v>
      </c>
      <c r="B12" t="s">
        <v>39</v>
      </c>
      <c r="C12">
        <v>1</v>
      </c>
      <c r="D12" s="3">
        <v>227273</v>
      </c>
      <c r="E12" s="3">
        <v>22727</v>
      </c>
      <c r="F12" s="3">
        <v>25000</v>
      </c>
      <c r="G12" s="3">
        <v>275000</v>
      </c>
      <c r="H12">
        <v>17.920000000000002</v>
      </c>
      <c r="I12">
        <v>1</v>
      </c>
      <c r="J12" s="3">
        <v>227273</v>
      </c>
      <c r="K12" s="3">
        <v>22727</v>
      </c>
      <c r="L12" s="3">
        <v>25000</v>
      </c>
      <c r="M12" s="3">
        <v>275000</v>
      </c>
      <c r="N12">
        <v>17.920000000000002</v>
      </c>
      <c r="O12">
        <v>299</v>
      </c>
      <c r="P12" s="3">
        <v>61635543</v>
      </c>
      <c r="Q12" s="3">
        <v>6163554</v>
      </c>
      <c r="R12" s="3">
        <v>6779909</v>
      </c>
      <c r="S12" s="3">
        <v>74579000</v>
      </c>
      <c r="T12">
        <v>3.22</v>
      </c>
      <c r="U12">
        <v>0</v>
      </c>
    </row>
    <row r="13" spans="1:21" ht="15" x14ac:dyDescent="0.25">
      <c r="A13">
        <v>112</v>
      </c>
      <c r="B13" t="s">
        <v>40</v>
      </c>
      <c r="C13">
        <v>1</v>
      </c>
      <c r="D13" s="3">
        <v>413223</v>
      </c>
      <c r="E13" s="3">
        <v>41322</v>
      </c>
      <c r="F13" s="3">
        <v>45455</v>
      </c>
      <c r="G13" s="3">
        <v>500000</v>
      </c>
      <c r="H13">
        <v>32.57</v>
      </c>
      <c r="I13">
        <v>1</v>
      </c>
      <c r="J13" s="3">
        <v>413223</v>
      </c>
      <c r="K13" s="3">
        <v>41322</v>
      </c>
      <c r="L13" s="3">
        <v>45455</v>
      </c>
      <c r="M13" s="3">
        <v>500000</v>
      </c>
      <c r="N13">
        <v>32.57</v>
      </c>
      <c r="O13">
        <v>204</v>
      </c>
      <c r="P13" s="3">
        <v>39378841</v>
      </c>
      <c r="Q13" s="3">
        <v>3937884</v>
      </c>
      <c r="R13" s="3">
        <v>4331673</v>
      </c>
      <c r="S13" s="3">
        <v>47648402</v>
      </c>
      <c r="T13">
        <v>2.06</v>
      </c>
      <c r="U13">
        <v>0</v>
      </c>
    </row>
    <row r="14" spans="1:21" ht="15" x14ac:dyDescent="0.25">
      <c r="A14">
        <v>113</v>
      </c>
      <c r="B14" t="s">
        <v>41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</v>
      </c>
      <c r="P14" s="3">
        <v>514504</v>
      </c>
      <c r="Q14" s="3">
        <v>51450</v>
      </c>
      <c r="R14" s="3">
        <v>56595</v>
      </c>
      <c r="S14" s="3">
        <v>622550</v>
      </c>
      <c r="T14">
        <v>0.03</v>
      </c>
      <c r="U14">
        <v>0</v>
      </c>
    </row>
    <row r="15" spans="1:21" ht="15" x14ac:dyDescent="0.25">
      <c r="A15">
        <v>114</v>
      </c>
      <c r="B15" t="s">
        <v>42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20</v>
      </c>
      <c r="P15" s="3">
        <v>6069827</v>
      </c>
      <c r="Q15" s="3">
        <v>606983</v>
      </c>
      <c r="R15" s="3">
        <v>667681</v>
      </c>
      <c r="S15" s="3">
        <v>7344490</v>
      </c>
      <c r="T15">
        <v>0.32</v>
      </c>
      <c r="U15">
        <v>0</v>
      </c>
    </row>
    <row r="16" spans="1:21" ht="15" x14ac:dyDescent="0.25">
      <c r="A16">
        <v>131</v>
      </c>
      <c r="B16" t="s">
        <v>43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35</v>
      </c>
      <c r="P16" s="3">
        <v>69008</v>
      </c>
      <c r="Q16" s="3">
        <v>6901</v>
      </c>
      <c r="R16" s="3">
        <v>7591</v>
      </c>
      <c r="S16" s="3">
        <v>83500</v>
      </c>
      <c r="T16">
        <v>0</v>
      </c>
      <c r="U16">
        <v>0</v>
      </c>
    </row>
    <row r="17" spans="1:21" ht="15" x14ac:dyDescent="0.25">
      <c r="A17">
        <v>140</v>
      </c>
      <c r="B17" t="s">
        <v>44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42</v>
      </c>
      <c r="P17" s="3">
        <v>24181924</v>
      </c>
      <c r="Q17" s="3">
        <v>2418192</v>
      </c>
      <c r="R17" s="3">
        <v>2660012</v>
      </c>
      <c r="S17" s="3">
        <v>29260129</v>
      </c>
      <c r="T17">
        <v>1.26</v>
      </c>
      <c r="U17">
        <v>0</v>
      </c>
    </row>
    <row r="18" spans="1:21" ht="15" x14ac:dyDescent="0.25">
      <c r="A18">
        <v>150</v>
      </c>
      <c r="B18" t="s">
        <v>45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107</v>
      </c>
      <c r="P18" s="3">
        <v>6412943</v>
      </c>
      <c r="Q18" s="3">
        <v>641294</v>
      </c>
      <c r="R18" s="3">
        <v>705424</v>
      </c>
      <c r="S18" s="3">
        <v>7759660</v>
      </c>
      <c r="T18">
        <v>0.33</v>
      </c>
      <c r="U18">
        <v>0</v>
      </c>
    </row>
    <row r="19" spans="1:21" ht="15" x14ac:dyDescent="0.25">
      <c r="A19">
        <v>170</v>
      </c>
      <c r="B19" t="s">
        <v>46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</v>
      </c>
      <c r="P19" s="3">
        <v>1270000</v>
      </c>
      <c r="Q19">
        <v>0</v>
      </c>
      <c r="R19">
        <v>0</v>
      </c>
      <c r="S19" s="3">
        <v>1270000</v>
      </c>
      <c r="T19">
        <v>0.05</v>
      </c>
      <c r="U19">
        <v>0</v>
      </c>
    </row>
    <row r="20" spans="1:21" ht="15" x14ac:dyDescent="0.25">
      <c r="A20">
        <v>180</v>
      </c>
      <c r="B20" t="s">
        <v>47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9</v>
      </c>
      <c r="P20" s="3">
        <v>388429</v>
      </c>
      <c r="Q20" s="3">
        <v>38843</v>
      </c>
      <c r="R20" s="3">
        <v>42727</v>
      </c>
      <c r="S20" s="3">
        <v>470000</v>
      </c>
      <c r="T20">
        <v>0.02</v>
      </c>
      <c r="U20">
        <v>0</v>
      </c>
    </row>
    <row r="21" spans="1:21" ht="15" x14ac:dyDescent="0.25">
      <c r="A21" t="s">
        <v>28</v>
      </c>
      <c r="B21" t="s">
        <v>29</v>
      </c>
      <c r="C21" t="s">
        <v>30</v>
      </c>
      <c r="D21" t="s">
        <v>31</v>
      </c>
      <c r="E21" t="s">
        <v>32</v>
      </c>
      <c r="F21" t="s">
        <v>32</v>
      </c>
      <c r="G21" t="s">
        <v>32</v>
      </c>
      <c r="H21" t="s">
        <v>33</v>
      </c>
      <c r="I21" t="s">
        <v>34</v>
      </c>
      <c r="J21" t="s">
        <v>31</v>
      </c>
      <c r="K21" t="s">
        <v>32</v>
      </c>
      <c r="L21" t="s">
        <v>32</v>
      </c>
      <c r="M21" t="s">
        <v>32</v>
      </c>
      <c r="N21" t="s">
        <v>33</v>
      </c>
      <c r="O21" t="s">
        <v>34</v>
      </c>
      <c r="P21" t="s">
        <v>35</v>
      </c>
      <c r="Q21" t="s">
        <v>32</v>
      </c>
      <c r="R21" t="s">
        <v>32</v>
      </c>
      <c r="S21" t="s">
        <v>36</v>
      </c>
    </row>
    <row r="22" spans="1:21" ht="15" x14ac:dyDescent="0.25">
      <c r="B22" t="s">
        <v>48</v>
      </c>
      <c r="C22">
        <v>3</v>
      </c>
      <c r="D22" s="3">
        <v>1268595</v>
      </c>
      <c r="E22" s="3">
        <v>126860</v>
      </c>
      <c r="F22" s="3">
        <v>139545</v>
      </c>
      <c r="G22" s="3">
        <v>1535000</v>
      </c>
      <c r="H22">
        <v>100</v>
      </c>
      <c r="I22">
        <v>3</v>
      </c>
      <c r="J22" s="3">
        <v>1268595</v>
      </c>
      <c r="K22" s="3">
        <v>126860</v>
      </c>
      <c r="L22" s="3">
        <v>139545</v>
      </c>
      <c r="M22" s="3">
        <v>1535000</v>
      </c>
      <c r="N22">
        <v>100</v>
      </c>
      <c r="O22">
        <v>3180</v>
      </c>
      <c r="P22" s="3">
        <v>1915732479</v>
      </c>
      <c r="Q22" s="3">
        <v>191446248</v>
      </c>
      <c r="R22" s="3">
        <v>210590872</v>
      </c>
      <c r="S22" s="3">
        <v>2317769595</v>
      </c>
      <c r="T22">
        <v>100</v>
      </c>
      <c r="U22">
        <v>0</v>
      </c>
    </row>
    <row r="23" spans="1:21" ht="15" x14ac:dyDescent="0.25"/>
    <row r="24" spans="1:21" ht="15" x14ac:dyDescent="0.25">
      <c r="B24" t="s">
        <v>49</v>
      </c>
    </row>
    <row r="25" spans="1:21" ht="15" x14ac:dyDescent="0.25">
      <c r="A25">
        <v>10</v>
      </c>
      <c r="B25" t="s">
        <v>50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6977</v>
      </c>
      <c r="P25" s="3">
        <v>568516080</v>
      </c>
      <c r="Q25" s="3">
        <v>56851609</v>
      </c>
      <c r="R25" s="3">
        <v>62536770</v>
      </c>
      <c r="S25" s="3">
        <v>687904472</v>
      </c>
      <c r="T25">
        <v>57.53</v>
      </c>
      <c r="U25">
        <v>0</v>
      </c>
    </row>
    <row r="26" spans="1:21" ht="15" x14ac:dyDescent="0.25">
      <c r="A26">
        <v>11</v>
      </c>
      <c r="B26" t="s">
        <v>51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889</v>
      </c>
      <c r="P26" s="3">
        <v>74028500</v>
      </c>
      <c r="Q26" s="3">
        <v>7402850</v>
      </c>
      <c r="R26" s="3">
        <v>8143135</v>
      </c>
      <c r="S26" s="3">
        <v>89574485</v>
      </c>
      <c r="T26">
        <v>7.49</v>
      </c>
      <c r="U26">
        <v>0</v>
      </c>
    </row>
    <row r="27" spans="1:21" ht="15" x14ac:dyDescent="0.25">
      <c r="A27">
        <v>12</v>
      </c>
      <c r="B27" t="s">
        <v>52</v>
      </c>
      <c r="C27">
        <v>2</v>
      </c>
      <c r="D27" s="3">
        <v>123967</v>
      </c>
      <c r="E27" s="3">
        <v>12397</v>
      </c>
      <c r="F27" s="3">
        <v>13636</v>
      </c>
      <c r="G27" s="3">
        <v>150000</v>
      </c>
      <c r="H27">
        <v>100</v>
      </c>
      <c r="I27">
        <v>2</v>
      </c>
      <c r="J27" s="3">
        <v>123967</v>
      </c>
      <c r="K27" s="3">
        <v>12397</v>
      </c>
      <c r="L27" s="3">
        <v>13636</v>
      </c>
      <c r="M27" s="3">
        <v>150000</v>
      </c>
      <c r="N27">
        <v>100</v>
      </c>
      <c r="O27">
        <v>5468</v>
      </c>
      <c r="P27" s="3">
        <v>339235551</v>
      </c>
      <c r="Q27" s="3">
        <v>33923554</v>
      </c>
      <c r="R27" s="3">
        <v>37315909</v>
      </c>
      <c r="S27" s="3">
        <v>410475000</v>
      </c>
      <c r="T27">
        <v>34.33</v>
      </c>
      <c r="U27">
        <v>0</v>
      </c>
    </row>
    <row r="28" spans="1:21" ht="15" x14ac:dyDescent="0.25">
      <c r="A28">
        <v>14</v>
      </c>
      <c r="B28" t="s">
        <v>53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16</v>
      </c>
      <c r="P28" s="3">
        <v>1322314</v>
      </c>
      <c r="Q28" s="3">
        <v>132231</v>
      </c>
      <c r="R28" s="3">
        <v>145455</v>
      </c>
      <c r="S28" s="3">
        <v>1600000</v>
      </c>
      <c r="T28">
        <v>0.13</v>
      </c>
      <c r="U28">
        <v>0</v>
      </c>
    </row>
    <row r="29" spans="1:21" ht="15" x14ac:dyDescent="0.25">
      <c r="A29">
        <v>25</v>
      </c>
      <c r="B29" t="s">
        <v>54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233</v>
      </c>
      <c r="P29" s="3">
        <v>11720949</v>
      </c>
      <c r="Q29" s="3">
        <v>1172095</v>
      </c>
      <c r="R29" s="3">
        <v>1289305</v>
      </c>
      <c r="S29" s="3">
        <v>14182350</v>
      </c>
      <c r="T29">
        <v>1.19</v>
      </c>
      <c r="U29">
        <v>0</v>
      </c>
    </row>
    <row r="30" spans="1:21" ht="15" x14ac:dyDescent="0.25">
      <c r="A30">
        <v>30</v>
      </c>
      <c r="B30" t="s">
        <v>55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6</v>
      </c>
      <c r="P30" s="3">
        <v>318749</v>
      </c>
      <c r="Q30" s="3">
        <v>31875</v>
      </c>
      <c r="R30" s="3">
        <v>35063</v>
      </c>
      <c r="S30" s="3">
        <v>385688</v>
      </c>
      <c r="T30">
        <v>0.03</v>
      </c>
      <c r="U30">
        <v>0</v>
      </c>
    </row>
    <row r="31" spans="1:21" ht="15" x14ac:dyDescent="0.25">
      <c r="A31">
        <v>31</v>
      </c>
      <c r="B31" t="s">
        <v>56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165</v>
      </c>
      <c r="P31" s="3">
        <v>3000005</v>
      </c>
      <c r="Q31">
        <v>0</v>
      </c>
      <c r="R31" s="3">
        <v>300000</v>
      </c>
      <c r="S31" s="3">
        <v>3300000</v>
      </c>
      <c r="T31">
        <v>0.28000000000000003</v>
      </c>
      <c r="U31">
        <v>0</v>
      </c>
    </row>
    <row r="32" spans="1:21" ht="15" x14ac:dyDescent="0.25">
      <c r="A32">
        <v>52</v>
      </c>
      <c r="B32" t="s">
        <v>57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ht="15" x14ac:dyDescent="0.25">
      <c r="A33">
        <v>911</v>
      </c>
      <c r="B33" t="s">
        <v>58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198</v>
      </c>
      <c r="P33" s="3">
        <v>-9303768</v>
      </c>
      <c r="Q33" s="3">
        <v>-930377</v>
      </c>
      <c r="R33" s="3">
        <v>-1023414</v>
      </c>
      <c r="S33" s="3">
        <v>-11257559</v>
      </c>
      <c r="T33">
        <v>-0.94</v>
      </c>
      <c r="U33">
        <v>0</v>
      </c>
    </row>
    <row r="34" spans="1:21" ht="15" x14ac:dyDescent="0.25">
      <c r="A34">
        <v>912</v>
      </c>
      <c r="B34" t="s">
        <v>59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25</v>
      </c>
      <c r="P34" s="3">
        <v>-317300</v>
      </c>
      <c r="Q34" s="3">
        <v>-31730</v>
      </c>
      <c r="R34" s="3">
        <v>-34903</v>
      </c>
      <c r="S34" s="3">
        <v>-383933</v>
      </c>
      <c r="T34">
        <v>-0.03</v>
      </c>
      <c r="U34">
        <v>0</v>
      </c>
    </row>
    <row r="35" spans="1:21" ht="15" x14ac:dyDescent="0.25">
      <c r="A35" t="s">
        <v>28</v>
      </c>
      <c r="B35" t="s">
        <v>29</v>
      </c>
      <c r="C35" t="s">
        <v>30</v>
      </c>
      <c r="D35" t="s">
        <v>31</v>
      </c>
      <c r="E35" t="s">
        <v>32</v>
      </c>
      <c r="F35" t="s">
        <v>32</v>
      </c>
      <c r="G35" t="s">
        <v>32</v>
      </c>
      <c r="H35" t="s">
        <v>33</v>
      </c>
      <c r="I35" t="s">
        <v>34</v>
      </c>
      <c r="J35" t="s">
        <v>31</v>
      </c>
      <c r="K35" t="s">
        <v>32</v>
      </c>
      <c r="L35" t="s">
        <v>32</v>
      </c>
      <c r="M35" t="s">
        <v>32</v>
      </c>
      <c r="N35" t="s">
        <v>33</v>
      </c>
      <c r="O35" t="s">
        <v>34</v>
      </c>
      <c r="P35" t="s">
        <v>35</v>
      </c>
      <c r="Q35" t="s">
        <v>32</v>
      </c>
      <c r="R35" t="s">
        <v>32</v>
      </c>
      <c r="S35" t="s">
        <v>36</v>
      </c>
    </row>
    <row r="36" spans="1:21" ht="15" x14ac:dyDescent="0.25">
      <c r="B36" t="s">
        <v>48</v>
      </c>
      <c r="C36">
        <v>2</v>
      </c>
      <c r="D36" s="3">
        <v>123967</v>
      </c>
      <c r="E36" s="3">
        <v>12397</v>
      </c>
      <c r="F36" s="3">
        <v>13636</v>
      </c>
      <c r="G36" s="3">
        <v>150000</v>
      </c>
      <c r="H36">
        <v>100</v>
      </c>
      <c r="I36">
        <v>2</v>
      </c>
      <c r="J36" s="3">
        <v>123967</v>
      </c>
      <c r="K36" s="3">
        <v>12397</v>
      </c>
      <c r="L36" s="3">
        <v>13636</v>
      </c>
      <c r="M36" s="3">
        <v>150000</v>
      </c>
      <c r="N36">
        <v>100</v>
      </c>
      <c r="O36">
        <v>13977</v>
      </c>
      <c r="P36" s="3">
        <v>988521080</v>
      </c>
      <c r="Q36" s="3">
        <v>98552108</v>
      </c>
      <c r="R36" s="3">
        <v>108707318</v>
      </c>
      <c r="S36" s="3">
        <v>1195780503</v>
      </c>
      <c r="T36">
        <v>100</v>
      </c>
      <c r="U36">
        <v>0</v>
      </c>
    </row>
    <row r="37" spans="1:21" ht="15" x14ac:dyDescent="0.25"/>
    <row r="38" spans="1:21" ht="15" x14ac:dyDescent="0.25">
      <c r="B38" t="s">
        <v>60</v>
      </c>
    </row>
    <row r="39" spans="1:21" ht="15" x14ac:dyDescent="0.25">
      <c r="A39">
        <v>10</v>
      </c>
      <c r="B39" t="s">
        <v>61</v>
      </c>
      <c r="C39">
        <v>5</v>
      </c>
      <c r="D39" s="3">
        <v>201732</v>
      </c>
      <c r="E39" s="3">
        <v>10087</v>
      </c>
      <c r="F39" s="3">
        <v>21182</v>
      </c>
      <c r="G39" s="3">
        <v>233000</v>
      </c>
      <c r="H39">
        <v>100</v>
      </c>
      <c r="I39">
        <v>5</v>
      </c>
      <c r="J39" s="3">
        <v>201732</v>
      </c>
      <c r="K39" s="3">
        <v>10087</v>
      </c>
      <c r="L39" s="3">
        <v>21182</v>
      </c>
      <c r="M39" s="3">
        <v>233000</v>
      </c>
      <c r="N39">
        <v>100</v>
      </c>
      <c r="O39">
        <v>2685</v>
      </c>
      <c r="P39" s="3">
        <v>63526401</v>
      </c>
      <c r="Q39" s="3">
        <v>3176320</v>
      </c>
      <c r="R39" s="3">
        <v>6670273</v>
      </c>
      <c r="S39" s="3">
        <v>73373000</v>
      </c>
      <c r="T39">
        <v>71.03</v>
      </c>
      <c r="U39">
        <v>0</v>
      </c>
    </row>
    <row r="40" spans="1:21" ht="15" x14ac:dyDescent="0.25">
      <c r="A40">
        <v>11</v>
      </c>
      <c r="B40" t="s">
        <v>62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1467</v>
      </c>
      <c r="P40" s="3">
        <v>25625977</v>
      </c>
      <c r="Q40" s="3">
        <v>1281299</v>
      </c>
      <c r="R40" s="3">
        <v>2690727</v>
      </c>
      <c r="S40" s="3">
        <v>29598000</v>
      </c>
      <c r="T40">
        <v>28.65</v>
      </c>
      <c r="U40">
        <v>0</v>
      </c>
    </row>
    <row r="41" spans="1:21" ht="15" x14ac:dyDescent="0.25">
      <c r="A41">
        <v>30</v>
      </c>
      <c r="B41" t="s">
        <v>63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15</v>
      </c>
      <c r="P41" s="3">
        <v>324675</v>
      </c>
      <c r="Q41" s="3">
        <v>16234</v>
      </c>
      <c r="R41" s="3">
        <v>34091</v>
      </c>
      <c r="S41" s="3">
        <v>375000</v>
      </c>
      <c r="T41">
        <v>0.36</v>
      </c>
      <c r="U41">
        <v>0</v>
      </c>
    </row>
    <row r="42" spans="1:21" ht="15" x14ac:dyDescent="0.25">
      <c r="A42">
        <v>911</v>
      </c>
      <c r="B42" t="s">
        <v>64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5</v>
      </c>
      <c r="P42" s="3">
        <v>-42987</v>
      </c>
      <c r="Q42" s="3">
        <v>-2149</v>
      </c>
      <c r="R42" s="3">
        <v>-4514</v>
      </c>
      <c r="S42" s="3">
        <v>-49650</v>
      </c>
      <c r="T42">
        <v>-0.05</v>
      </c>
      <c r="U42">
        <v>0</v>
      </c>
    </row>
    <row r="43" spans="1:21" ht="15" x14ac:dyDescent="0.25">
      <c r="A43">
        <v>912</v>
      </c>
      <c r="B43" t="s">
        <v>65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2</v>
      </c>
      <c r="P43" s="3">
        <v>-2035</v>
      </c>
      <c r="Q43">
        <v>-102</v>
      </c>
      <c r="R43">
        <v>-214</v>
      </c>
      <c r="S43" s="3">
        <v>-2350</v>
      </c>
      <c r="T43">
        <v>0</v>
      </c>
      <c r="U43">
        <v>0</v>
      </c>
    </row>
    <row r="44" spans="1:21" ht="15" x14ac:dyDescent="0.25">
      <c r="A44" t="s">
        <v>28</v>
      </c>
      <c r="B44" t="s">
        <v>29</v>
      </c>
      <c r="C44" t="s">
        <v>30</v>
      </c>
      <c r="D44" t="s">
        <v>31</v>
      </c>
      <c r="E44" t="s">
        <v>32</v>
      </c>
      <c r="F44" t="s">
        <v>32</v>
      </c>
      <c r="G44" t="s">
        <v>32</v>
      </c>
      <c r="H44" t="s">
        <v>33</v>
      </c>
      <c r="I44" t="s">
        <v>34</v>
      </c>
      <c r="J44" t="s">
        <v>31</v>
      </c>
      <c r="K44" t="s">
        <v>32</v>
      </c>
      <c r="L44" t="s">
        <v>32</v>
      </c>
      <c r="M44" t="s">
        <v>32</v>
      </c>
      <c r="N44" t="s">
        <v>33</v>
      </c>
      <c r="O44" t="s">
        <v>34</v>
      </c>
      <c r="P44" t="s">
        <v>35</v>
      </c>
      <c r="Q44" t="s">
        <v>32</v>
      </c>
      <c r="R44" t="s">
        <v>32</v>
      </c>
      <c r="S44" t="s">
        <v>36</v>
      </c>
    </row>
    <row r="45" spans="1:21" ht="15" x14ac:dyDescent="0.25">
      <c r="B45" t="s">
        <v>48</v>
      </c>
      <c r="C45">
        <v>5</v>
      </c>
      <c r="D45" s="3">
        <v>201732</v>
      </c>
      <c r="E45" s="3">
        <v>10087</v>
      </c>
      <c r="F45" s="3">
        <v>21182</v>
      </c>
      <c r="G45" s="3">
        <v>233000</v>
      </c>
      <c r="H45">
        <v>100</v>
      </c>
      <c r="I45">
        <v>5</v>
      </c>
      <c r="J45" s="3">
        <v>201732</v>
      </c>
      <c r="K45" s="3">
        <v>10087</v>
      </c>
      <c r="L45" s="3">
        <v>21182</v>
      </c>
      <c r="M45" s="3">
        <v>233000</v>
      </c>
      <c r="N45">
        <v>100</v>
      </c>
      <c r="O45">
        <v>4174</v>
      </c>
      <c r="P45" s="3">
        <v>89432031</v>
      </c>
      <c r="Q45" s="3">
        <v>4471602</v>
      </c>
      <c r="R45" s="3">
        <v>9390364</v>
      </c>
      <c r="S45" s="3">
        <v>103294000</v>
      </c>
      <c r="T45">
        <v>100</v>
      </c>
      <c r="U45">
        <v>0</v>
      </c>
    </row>
    <row r="46" spans="1:21" ht="15" x14ac:dyDescent="0.25"/>
    <row r="47" spans="1:21" ht="15" x14ac:dyDescent="0.25">
      <c r="B47" t="s">
        <v>66</v>
      </c>
    </row>
    <row r="48" spans="1:21" ht="15" x14ac:dyDescent="0.25">
      <c r="A48">
        <v>10</v>
      </c>
      <c r="B48" t="s">
        <v>67</v>
      </c>
      <c r="C48">
        <v>3</v>
      </c>
      <c r="D48" s="3">
        <v>64935</v>
      </c>
      <c r="E48" s="3">
        <v>3247</v>
      </c>
      <c r="F48" s="3">
        <v>6818</v>
      </c>
      <c r="G48" s="3">
        <v>75000</v>
      </c>
      <c r="H48">
        <v>24.35</v>
      </c>
      <c r="I48">
        <v>3</v>
      </c>
      <c r="J48" s="3">
        <v>64935</v>
      </c>
      <c r="K48" s="3">
        <v>3247</v>
      </c>
      <c r="L48" s="3">
        <v>6818</v>
      </c>
      <c r="M48" s="3">
        <v>75000</v>
      </c>
      <c r="N48">
        <v>24.35</v>
      </c>
      <c r="O48">
        <v>4074</v>
      </c>
      <c r="P48" s="3">
        <v>106863801</v>
      </c>
      <c r="Q48" s="3">
        <v>5343191</v>
      </c>
      <c r="R48" s="3">
        <v>11220701</v>
      </c>
      <c r="S48" s="3">
        <v>123427708</v>
      </c>
      <c r="T48">
        <v>41</v>
      </c>
      <c r="U48">
        <v>0</v>
      </c>
    </row>
    <row r="49" spans="1:21" ht="15" x14ac:dyDescent="0.25">
      <c r="A49">
        <v>11</v>
      </c>
      <c r="B49" t="s">
        <v>68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134</v>
      </c>
      <c r="P49" s="3">
        <v>3497552</v>
      </c>
      <c r="Q49" s="3">
        <v>174877</v>
      </c>
      <c r="R49" s="3">
        <v>367243</v>
      </c>
      <c r="S49" s="3">
        <v>4039668</v>
      </c>
      <c r="T49">
        <v>1.34</v>
      </c>
      <c r="U49">
        <v>0</v>
      </c>
    </row>
    <row r="50" spans="1:21" ht="15" x14ac:dyDescent="0.25">
      <c r="A50">
        <v>19</v>
      </c>
      <c r="B50" t="s">
        <v>69</v>
      </c>
      <c r="C50">
        <v>5</v>
      </c>
      <c r="D50" s="3">
        <v>160173</v>
      </c>
      <c r="E50" s="3">
        <v>8009</v>
      </c>
      <c r="F50" s="3">
        <v>16818</v>
      </c>
      <c r="G50" s="3">
        <v>185000</v>
      </c>
      <c r="H50">
        <v>60.06</v>
      </c>
      <c r="I50">
        <v>5</v>
      </c>
      <c r="J50" s="3">
        <v>160173</v>
      </c>
      <c r="K50" s="3">
        <v>8009</v>
      </c>
      <c r="L50" s="3">
        <v>16818</v>
      </c>
      <c r="M50" s="3">
        <v>185000</v>
      </c>
      <c r="N50">
        <v>60.06</v>
      </c>
      <c r="O50">
        <v>5529</v>
      </c>
      <c r="P50" s="3">
        <v>141312112</v>
      </c>
      <c r="Q50" s="3">
        <v>7065606</v>
      </c>
      <c r="R50" s="3">
        <v>14837773</v>
      </c>
      <c r="S50" s="3">
        <v>163215500</v>
      </c>
      <c r="T50">
        <v>54.22</v>
      </c>
      <c r="U50">
        <v>0</v>
      </c>
    </row>
    <row r="51" spans="1:21" ht="15" x14ac:dyDescent="0.25">
      <c r="A51">
        <v>21</v>
      </c>
      <c r="B51" t="s">
        <v>70</v>
      </c>
      <c r="C51">
        <v>4</v>
      </c>
      <c r="D51" s="3">
        <v>41558</v>
      </c>
      <c r="E51" s="3">
        <v>2078</v>
      </c>
      <c r="F51" s="3">
        <v>4364</v>
      </c>
      <c r="G51" s="3">
        <v>48000</v>
      </c>
      <c r="H51">
        <v>15.58</v>
      </c>
      <c r="I51">
        <v>4</v>
      </c>
      <c r="J51" s="3">
        <v>41558</v>
      </c>
      <c r="K51" s="3">
        <v>2078</v>
      </c>
      <c r="L51" s="3">
        <v>4364</v>
      </c>
      <c r="M51" s="3">
        <v>48000</v>
      </c>
      <c r="N51">
        <v>15.58</v>
      </c>
      <c r="O51">
        <v>801</v>
      </c>
      <c r="P51" s="3">
        <v>9477056</v>
      </c>
      <c r="Q51" s="3">
        <v>473853</v>
      </c>
      <c r="R51" s="3">
        <v>995091</v>
      </c>
      <c r="S51" s="3">
        <v>10946000</v>
      </c>
      <c r="T51">
        <v>3.64</v>
      </c>
      <c r="U51">
        <v>0</v>
      </c>
    </row>
    <row r="52" spans="1:21" ht="15" x14ac:dyDescent="0.25">
      <c r="A52">
        <v>27</v>
      </c>
      <c r="B52" t="s">
        <v>71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ht="15" x14ac:dyDescent="0.25">
      <c r="A53">
        <v>31</v>
      </c>
      <c r="B53" t="s">
        <v>72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ht="15" x14ac:dyDescent="0.25">
      <c r="A54">
        <v>911</v>
      </c>
      <c r="B54" t="s">
        <v>73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39</v>
      </c>
      <c r="P54" s="3">
        <v>-498544</v>
      </c>
      <c r="Q54" s="3">
        <v>-24927</v>
      </c>
      <c r="R54" s="3">
        <v>-52347</v>
      </c>
      <c r="S54" s="3">
        <v>-575817</v>
      </c>
      <c r="T54">
        <v>-0.19</v>
      </c>
      <c r="U54">
        <v>0</v>
      </c>
    </row>
    <row r="55" spans="1:21" ht="15" x14ac:dyDescent="0.25">
      <c r="A55">
        <v>912</v>
      </c>
      <c r="B55" t="s">
        <v>74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5</v>
      </c>
      <c r="P55" s="3">
        <v>-9234</v>
      </c>
      <c r="Q55">
        <v>-462</v>
      </c>
      <c r="R55">
        <v>-970</v>
      </c>
      <c r="S55" s="3">
        <v>-10665</v>
      </c>
      <c r="T55">
        <v>0</v>
      </c>
      <c r="U55">
        <v>0</v>
      </c>
    </row>
    <row r="56" spans="1:21" ht="15" x14ac:dyDescent="0.25">
      <c r="A56" t="s">
        <v>28</v>
      </c>
      <c r="B56" t="s">
        <v>29</v>
      </c>
      <c r="C56" t="s">
        <v>30</v>
      </c>
      <c r="D56" t="s">
        <v>31</v>
      </c>
      <c r="E56" t="s">
        <v>32</v>
      </c>
      <c r="F56" t="s">
        <v>32</v>
      </c>
      <c r="G56" t="s">
        <v>32</v>
      </c>
      <c r="H56" t="s">
        <v>33</v>
      </c>
      <c r="I56" t="s">
        <v>34</v>
      </c>
      <c r="J56" t="s">
        <v>31</v>
      </c>
      <c r="K56" t="s">
        <v>32</v>
      </c>
      <c r="L56" t="s">
        <v>32</v>
      </c>
      <c r="M56" t="s">
        <v>32</v>
      </c>
      <c r="N56" t="s">
        <v>33</v>
      </c>
      <c r="O56" t="s">
        <v>34</v>
      </c>
      <c r="P56" t="s">
        <v>35</v>
      </c>
      <c r="Q56" t="s">
        <v>32</v>
      </c>
      <c r="R56" t="s">
        <v>32</v>
      </c>
      <c r="S56" t="s">
        <v>36</v>
      </c>
    </row>
    <row r="57" spans="1:21" ht="15" x14ac:dyDescent="0.25">
      <c r="B57" t="s">
        <v>48</v>
      </c>
      <c r="C57">
        <v>12</v>
      </c>
      <c r="D57" s="3">
        <v>266666</v>
      </c>
      <c r="E57" s="3">
        <v>13333</v>
      </c>
      <c r="F57" s="3">
        <v>28000</v>
      </c>
      <c r="G57" s="3">
        <v>308000</v>
      </c>
      <c r="H57">
        <v>100</v>
      </c>
      <c r="I57">
        <v>12</v>
      </c>
      <c r="J57" s="3">
        <v>266666</v>
      </c>
      <c r="K57" s="3">
        <v>13333</v>
      </c>
      <c r="L57" s="3">
        <v>28000</v>
      </c>
      <c r="M57" s="3">
        <v>308000</v>
      </c>
      <c r="N57">
        <v>100</v>
      </c>
      <c r="O57">
        <v>10582</v>
      </c>
      <c r="P57" s="3">
        <v>260642743</v>
      </c>
      <c r="Q57" s="3">
        <v>13032138</v>
      </c>
      <c r="R57" s="3">
        <v>27367490</v>
      </c>
      <c r="S57" s="3">
        <v>301042394</v>
      </c>
      <c r="T57">
        <v>100</v>
      </c>
      <c r="U57">
        <v>0</v>
      </c>
    </row>
    <row r="58" spans="1:21" ht="15" x14ac:dyDescent="0.25"/>
    <row r="59" spans="1:21" ht="15" x14ac:dyDescent="0.25">
      <c r="B59" t="s">
        <v>75</v>
      </c>
    </row>
    <row r="60" spans="1:21" ht="15" x14ac:dyDescent="0.25">
      <c r="A60">
        <v>10</v>
      </c>
      <c r="B60" t="s">
        <v>76</v>
      </c>
      <c r="C60">
        <v>26</v>
      </c>
      <c r="D60" s="3">
        <v>118000</v>
      </c>
      <c r="E60">
        <v>0</v>
      </c>
      <c r="F60">
        <v>0</v>
      </c>
      <c r="G60" s="3">
        <v>118000</v>
      </c>
      <c r="H60">
        <v>14.34</v>
      </c>
      <c r="I60">
        <v>26</v>
      </c>
      <c r="J60" s="3">
        <v>118000</v>
      </c>
      <c r="K60">
        <v>0</v>
      </c>
      <c r="L60">
        <v>0</v>
      </c>
      <c r="M60" s="3">
        <v>118000</v>
      </c>
      <c r="N60">
        <v>14.34</v>
      </c>
      <c r="O60">
        <v>899</v>
      </c>
      <c r="P60" s="3">
        <v>22026650</v>
      </c>
      <c r="Q60">
        <v>0</v>
      </c>
      <c r="R60">
        <v>0</v>
      </c>
      <c r="S60" s="3">
        <v>22026650</v>
      </c>
      <c r="T60">
        <v>2.17</v>
      </c>
      <c r="U60">
        <v>0</v>
      </c>
    </row>
    <row r="61" spans="1:21" ht="15" x14ac:dyDescent="0.25">
      <c r="A61">
        <v>11</v>
      </c>
      <c r="B61" t="s">
        <v>77</v>
      </c>
      <c r="C61">
        <v>12</v>
      </c>
      <c r="D61" s="3">
        <v>45000</v>
      </c>
      <c r="E61">
        <v>0</v>
      </c>
      <c r="F61">
        <v>0</v>
      </c>
      <c r="G61" s="3">
        <v>45000</v>
      </c>
      <c r="H61">
        <v>5.47</v>
      </c>
      <c r="I61">
        <v>12</v>
      </c>
      <c r="J61" s="3">
        <v>45000</v>
      </c>
      <c r="K61">
        <v>0</v>
      </c>
      <c r="L61">
        <v>0</v>
      </c>
      <c r="M61" s="3">
        <v>45000</v>
      </c>
      <c r="N61">
        <v>5.47</v>
      </c>
      <c r="O61">
        <v>2591</v>
      </c>
      <c r="P61" s="3">
        <v>35594200</v>
      </c>
      <c r="Q61">
        <v>0</v>
      </c>
      <c r="R61">
        <v>0</v>
      </c>
      <c r="S61" s="3">
        <v>35594200</v>
      </c>
      <c r="T61">
        <v>3.51</v>
      </c>
      <c r="U61">
        <v>0</v>
      </c>
    </row>
    <row r="62" spans="1:21" ht="15" x14ac:dyDescent="0.25">
      <c r="A62">
        <v>13</v>
      </c>
      <c r="B62" t="s">
        <v>78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51</v>
      </c>
      <c r="P62" s="3">
        <v>3825000</v>
      </c>
      <c r="Q62">
        <v>0</v>
      </c>
      <c r="R62">
        <v>0</v>
      </c>
      <c r="S62" s="3">
        <v>3825000</v>
      </c>
      <c r="T62">
        <v>0.38</v>
      </c>
      <c r="U62">
        <v>0</v>
      </c>
    </row>
    <row r="63" spans="1:21" ht="15" x14ac:dyDescent="0.25">
      <c r="A63">
        <v>14</v>
      </c>
      <c r="B63" t="s">
        <v>79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17</v>
      </c>
      <c r="P63" s="3">
        <v>289000</v>
      </c>
      <c r="Q63">
        <v>0</v>
      </c>
      <c r="R63">
        <v>0</v>
      </c>
      <c r="S63" s="3">
        <v>289000</v>
      </c>
      <c r="T63">
        <v>0.03</v>
      </c>
      <c r="U63">
        <v>0</v>
      </c>
    </row>
    <row r="64" spans="1:21" ht="15" x14ac:dyDescent="0.25">
      <c r="A64">
        <v>15</v>
      </c>
      <c r="B64" t="s">
        <v>80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61</v>
      </c>
      <c r="P64" s="3">
        <v>3700000</v>
      </c>
      <c r="Q64">
        <v>0</v>
      </c>
      <c r="R64">
        <v>0</v>
      </c>
      <c r="S64" s="3">
        <v>3700000</v>
      </c>
      <c r="T64">
        <v>0.37</v>
      </c>
      <c r="U64">
        <v>0</v>
      </c>
    </row>
    <row r="65" spans="1:21" ht="15" x14ac:dyDescent="0.25">
      <c r="A65">
        <v>16</v>
      </c>
      <c r="B65" t="s">
        <v>81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303</v>
      </c>
      <c r="P65" s="3">
        <v>5161000</v>
      </c>
      <c r="Q65">
        <v>0</v>
      </c>
      <c r="R65">
        <v>0</v>
      </c>
      <c r="S65" s="3">
        <v>5161000</v>
      </c>
      <c r="T65">
        <v>0.51</v>
      </c>
      <c r="U65">
        <v>0</v>
      </c>
    </row>
    <row r="66" spans="1:21" ht="15" x14ac:dyDescent="0.25">
      <c r="A66">
        <v>17</v>
      </c>
      <c r="B66" t="s">
        <v>82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2</v>
      </c>
      <c r="P66" s="3">
        <v>10000</v>
      </c>
      <c r="Q66">
        <v>0</v>
      </c>
      <c r="R66">
        <v>0</v>
      </c>
      <c r="S66" s="3">
        <v>10000</v>
      </c>
      <c r="T66">
        <v>0</v>
      </c>
      <c r="U66">
        <v>0</v>
      </c>
    </row>
    <row r="67" spans="1:21" ht="15" x14ac:dyDescent="0.25">
      <c r="A67">
        <v>20</v>
      </c>
      <c r="B67" t="s">
        <v>83</v>
      </c>
      <c r="C67">
        <v>24</v>
      </c>
      <c r="D67" s="3">
        <v>545455</v>
      </c>
      <c r="E67">
        <v>0</v>
      </c>
      <c r="F67" s="3">
        <v>54545</v>
      </c>
      <c r="G67" s="3">
        <v>600000</v>
      </c>
      <c r="H67">
        <v>72.900000000000006</v>
      </c>
      <c r="I67">
        <v>24</v>
      </c>
      <c r="J67" s="3">
        <v>545455</v>
      </c>
      <c r="K67">
        <v>0</v>
      </c>
      <c r="L67" s="3">
        <v>54545</v>
      </c>
      <c r="M67" s="3">
        <v>600000</v>
      </c>
      <c r="N67">
        <v>72.900000000000006</v>
      </c>
      <c r="O67">
        <v>19832</v>
      </c>
      <c r="P67" s="3">
        <v>454936355</v>
      </c>
      <c r="Q67">
        <v>0</v>
      </c>
      <c r="R67" s="3">
        <v>45493636</v>
      </c>
      <c r="S67" s="3">
        <v>500429991</v>
      </c>
      <c r="T67">
        <v>49.38</v>
      </c>
      <c r="U67">
        <v>0</v>
      </c>
    </row>
    <row r="68" spans="1:21" ht="15" x14ac:dyDescent="0.25">
      <c r="A68">
        <v>21</v>
      </c>
      <c r="B68" t="s">
        <v>84</v>
      </c>
      <c r="C68">
        <v>6</v>
      </c>
      <c r="D68" s="3">
        <v>54545</v>
      </c>
      <c r="E68">
        <v>0</v>
      </c>
      <c r="F68" s="3">
        <v>5455</v>
      </c>
      <c r="G68" s="3">
        <v>60000</v>
      </c>
      <c r="H68">
        <v>7.29</v>
      </c>
      <c r="I68">
        <v>6</v>
      </c>
      <c r="J68" s="3">
        <v>54545</v>
      </c>
      <c r="K68">
        <v>0</v>
      </c>
      <c r="L68" s="3">
        <v>5455</v>
      </c>
      <c r="M68" s="3">
        <v>60000</v>
      </c>
      <c r="N68">
        <v>7.29</v>
      </c>
      <c r="O68">
        <v>2440</v>
      </c>
      <c r="P68" s="3">
        <v>21045450</v>
      </c>
      <c r="Q68">
        <v>0</v>
      </c>
      <c r="R68" s="3">
        <v>2104545</v>
      </c>
      <c r="S68" s="3">
        <v>23150000</v>
      </c>
      <c r="T68">
        <v>2.2799999999999998</v>
      </c>
      <c r="U68">
        <v>0</v>
      </c>
    </row>
    <row r="69" spans="1:21" ht="15" x14ac:dyDescent="0.25">
      <c r="A69">
        <v>22</v>
      </c>
      <c r="B69" t="s">
        <v>85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913</v>
      </c>
      <c r="P69" s="3">
        <v>58826836</v>
      </c>
      <c r="Q69" s="3">
        <v>2941342</v>
      </c>
      <c r="R69" s="3">
        <v>6176818</v>
      </c>
      <c r="S69" s="3">
        <v>67945000</v>
      </c>
      <c r="T69">
        <v>6.7</v>
      </c>
      <c r="U69">
        <v>0</v>
      </c>
    </row>
    <row r="70" spans="1:21" ht="15" x14ac:dyDescent="0.25">
      <c r="A70">
        <v>23</v>
      </c>
      <c r="B70" t="s">
        <v>86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1173</v>
      </c>
      <c r="P70" s="3">
        <v>44445872</v>
      </c>
      <c r="Q70" s="3">
        <v>2222294</v>
      </c>
      <c r="R70" s="3">
        <v>4666818</v>
      </c>
      <c r="S70" s="3">
        <v>51335000</v>
      </c>
      <c r="T70">
        <v>5.07</v>
      </c>
      <c r="U70">
        <v>0</v>
      </c>
    </row>
    <row r="71" spans="1:21" ht="15" x14ac:dyDescent="0.25">
      <c r="A71">
        <v>24</v>
      </c>
      <c r="B71" t="s">
        <v>87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1148</v>
      </c>
      <c r="P71" s="3">
        <v>97757562</v>
      </c>
      <c r="Q71" s="3">
        <v>4887879</v>
      </c>
      <c r="R71" s="3">
        <v>10264545</v>
      </c>
      <c r="S71" s="3">
        <v>112909999</v>
      </c>
      <c r="T71">
        <v>11.14</v>
      </c>
      <c r="U71">
        <v>0</v>
      </c>
    </row>
    <row r="72" spans="1:21" ht="15" x14ac:dyDescent="0.25">
      <c r="A72">
        <v>25</v>
      </c>
      <c r="B72" t="s">
        <v>88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1227</v>
      </c>
      <c r="P72" s="3">
        <v>104086545</v>
      </c>
      <c r="Q72" s="3">
        <v>5204327</v>
      </c>
      <c r="R72" s="3">
        <v>10929087</v>
      </c>
      <c r="S72" s="3">
        <v>120219957</v>
      </c>
      <c r="T72">
        <v>11.86</v>
      </c>
      <c r="U72">
        <v>0</v>
      </c>
    </row>
    <row r="73" spans="1:21" ht="15" x14ac:dyDescent="0.25">
      <c r="A73">
        <v>26</v>
      </c>
      <c r="B73" t="s">
        <v>89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92</v>
      </c>
      <c r="P73" s="3">
        <v>15303030</v>
      </c>
      <c r="Q73" s="3">
        <v>765152</v>
      </c>
      <c r="R73" s="3">
        <v>1606818</v>
      </c>
      <c r="S73" s="3">
        <v>17675000</v>
      </c>
      <c r="T73">
        <v>1.74</v>
      </c>
      <c r="U73">
        <v>0</v>
      </c>
    </row>
    <row r="74" spans="1:21" ht="15" x14ac:dyDescent="0.25">
      <c r="A74">
        <v>27</v>
      </c>
      <c r="B74" t="s">
        <v>90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496</v>
      </c>
      <c r="P74" s="3">
        <v>70753236</v>
      </c>
      <c r="Q74" s="3">
        <v>3537662</v>
      </c>
      <c r="R74" s="3">
        <v>7429091</v>
      </c>
      <c r="S74" s="3">
        <v>81720000</v>
      </c>
      <c r="T74">
        <v>8.06</v>
      </c>
      <c r="U74">
        <v>0</v>
      </c>
    </row>
    <row r="75" spans="1:21" ht="15" x14ac:dyDescent="0.25">
      <c r="A75">
        <v>29</v>
      </c>
      <c r="B75" t="s">
        <v>91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19</v>
      </c>
      <c r="P75" s="3">
        <v>822510</v>
      </c>
      <c r="Q75" s="3">
        <v>41126</v>
      </c>
      <c r="R75" s="3">
        <v>86364</v>
      </c>
      <c r="S75" s="3">
        <v>950000</v>
      </c>
      <c r="T75">
        <v>0.09</v>
      </c>
      <c r="U75">
        <v>0</v>
      </c>
    </row>
    <row r="76" spans="1:21" ht="15" x14ac:dyDescent="0.25">
      <c r="A76">
        <v>31</v>
      </c>
      <c r="B76" t="s">
        <v>92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52</v>
      </c>
      <c r="P76" s="3">
        <v>2458883</v>
      </c>
      <c r="Q76" s="3">
        <v>122944</v>
      </c>
      <c r="R76" s="3">
        <v>258183</v>
      </c>
      <c r="S76" s="3">
        <v>2840009</v>
      </c>
      <c r="T76">
        <v>0.28000000000000003</v>
      </c>
      <c r="U76">
        <v>0</v>
      </c>
    </row>
    <row r="77" spans="1:21" ht="15" x14ac:dyDescent="0.25">
      <c r="A77">
        <v>911</v>
      </c>
      <c r="B77" t="s">
        <v>93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48</v>
      </c>
      <c r="P77" s="3">
        <v>-787878</v>
      </c>
      <c r="Q77" s="3">
        <v>-39394</v>
      </c>
      <c r="R77" s="3">
        <v>-82727</v>
      </c>
      <c r="S77" s="3">
        <v>-910000</v>
      </c>
      <c r="T77">
        <v>-0.09</v>
      </c>
      <c r="U77">
        <v>0</v>
      </c>
    </row>
    <row r="78" spans="1:21" ht="15" x14ac:dyDescent="0.25">
      <c r="A78">
        <v>913</v>
      </c>
      <c r="B78" t="s">
        <v>94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7</v>
      </c>
      <c r="P78" s="3">
        <v>-83250</v>
      </c>
      <c r="Q78">
        <v>0</v>
      </c>
      <c r="R78">
        <v>0</v>
      </c>
      <c r="S78" s="3">
        <v>-83250</v>
      </c>
      <c r="T78">
        <v>-0.01</v>
      </c>
      <c r="U78">
        <v>0</v>
      </c>
    </row>
    <row r="79" spans="1:21" ht="15" x14ac:dyDescent="0.25">
      <c r="A79">
        <v>914</v>
      </c>
      <c r="B79" t="s">
        <v>95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55</v>
      </c>
      <c r="P79" s="3">
        <v>-32190911</v>
      </c>
      <c r="Q79">
        <v>0</v>
      </c>
      <c r="R79" s="3">
        <v>-3219091</v>
      </c>
      <c r="S79" s="3">
        <v>-35410000</v>
      </c>
      <c r="T79">
        <v>-3.49</v>
      </c>
      <c r="U79">
        <v>0</v>
      </c>
    </row>
    <row r="80" spans="1:21" ht="15" x14ac:dyDescent="0.25">
      <c r="A80" t="s">
        <v>28</v>
      </c>
      <c r="B80" t="s">
        <v>29</v>
      </c>
      <c r="C80" t="s">
        <v>30</v>
      </c>
      <c r="D80" t="s">
        <v>31</v>
      </c>
      <c r="E80" t="s">
        <v>32</v>
      </c>
      <c r="F80" t="s">
        <v>32</v>
      </c>
      <c r="G80" t="s">
        <v>32</v>
      </c>
      <c r="H80" t="s">
        <v>33</v>
      </c>
      <c r="I80" t="s">
        <v>34</v>
      </c>
      <c r="J80" t="s">
        <v>31</v>
      </c>
      <c r="K80" t="s">
        <v>32</v>
      </c>
      <c r="L80" t="s">
        <v>32</v>
      </c>
      <c r="M80" t="s">
        <v>32</v>
      </c>
      <c r="N80" t="s">
        <v>33</v>
      </c>
      <c r="O80" t="s">
        <v>34</v>
      </c>
      <c r="P80" t="s">
        <v>35</v>
      </c>
      <c r="Q80" t="s">
        <v>32</v>
      </c>
      <c r="R80" t="s">
        <v>32</v>
      </c>
      <c r="S80" t="s">
        <v>36</v>
      </c>
    </row>
    <row r="81" spans="1:21" ht="15" x14ac:dyDescent="0.25">
      <c r="B81" t="s">
        <v>48</v>
      </c>
      <c r="C81">
        <v>68</v>
      </c>
      <c r="D81" s="3">
        <v>763000</v>
      </c>
      <c r="E81">
        <v>0</v>
      </c>
      <c r="F81" s="3">
        <v>60000</v>
      </c>
      <c r="G81" s="3">
        <v>823000</v>
      </c>
      <c r="H81">
        <v>100</v>
      </c>
      <c r="I81">
        <v>68</v>
      </c>
      <c r="J81" s="3">
        <v>763000</v>
      </c>
      <c r="K81">
        <v>0</v>
      </c>
      <c r="L81" s="3">
        <v>60000</v>
      </c>
      <c r="M81" s="3">
        <v>823000</v>
      </c>
      <c r="N81">
        <v>100</v>
      </c>
      <c r="O81">
        <v>31426</v>
      </c>
      <c r="P81" s="3">
        <v>907980090</v>
      </c>
      <c r="Q81" s="3">
        <v>19683332</v>
      </c>
      <c r="R81" s="3">
        <v>85714087</v>
      </c>
      <c r="S81" s="3">
        <v>1013377556</v>
      </c>
      <c r="T81">
        <v>100</v>
      </c>
      <c r="U81">
        <v>0</v>
      </c>
    </row>
    <row r="82" spans="1:21" ht="15" x14ac:dyDescent="0.25"/>
    <row r="83" spans="1:21" ht="15" x14ac:dyDescent="0.25">
      <c r="B83" t="s">
        <v>96</v>
      </c>
    </row>
    <row r="84" spans="1:21" ht="15" x14ac:dyDescent="0.25">
      <c r="A84">
        <v>10</v>
      </c>
      <c r="B84" t="s">
        <v>97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8020</v>
      </c>
      <c r="P84" s="3">
        <v>596204919</v>
      </c>
      <c r="Q84" s="3">
        <v>59620492</v>
      </c>
      <c r="R84" s="3">
        <v>65582541</v>
      </c>
      <c r="S84" s="3">
        <v>721407950</v>
      </c>
      <c r="T84">
        <v>82.64</v>
      </c>
      <c r="U84">
        <v>0</v>
      </c>
    </row>
    <row r="85" spans="1:21" ht="15" x14ac:dyDescent="0.25">
      <c r="A85">
        <v>11</v>
      </c>
      <c r="B85" t="s">
        <v>98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13</v>
      </c>
      <c r="P85" s="3">
        <v>641653</v>
      </c>
      <c r="Q85" s="3">
        <v>64165</v>
      </c>
      <c r="R85" s="3">
        <v>70582</v>
      </c>
      <c r="S85" s="3">
        <v>776400</v>
      </c>
      <c r="T85">
        <v>0.09</v>
      </c>
      <c r="U85">
        <v>0</v>
      </c>
    </row>
    <row r="86" spans="1:21" ht="15" x14ac:dyDescent="0.25">
      <c r="A86">
        <v>30</v>
      </c>
      <c r="B86" t="s">
        <v>99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932</v>
      </c>
      <c r="P86" s="3">
        <v>115439921</v>
      </c>
      <c r="Q86" s="3">
        <v>11543992</v>
      </c>
      <c r="R86" s="3">
        <v>12698392</v>
      </c>
      <c r="S86" s="3">
        <v>139682308</v>
      </c>
      <c r="T86">
        <v>16</v>
      </c>
      <c r="U86">
        <v>0</v>
      </c>
    </row>
    <row r="87" spans="1:21" ht="15" x14ac:dyDescent="0.25">
      <c r="A87">
        <v>40</v>
      </c>
      <c r="B87" t="s">
        <v>100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135</v>
      </c>
      <c r="P87" s="3">
        <v>9165289</v>
      </c>
      <c r="Q87" s="3">
        <v>916529</v>
      </c>
      <c r="R87" s="3">
        <v>1008182</v>
      </c>
      <c r="S87" s="3">
        <v>11090000</v>
      </c>
      <c r="T87">
        <v>1.27</v>
      </c>
      <c r="U87">
        <v>0</v>
      </c>
    </row>
    <row r="88" spans="1:21" ht="15" x14ac:dyDescent="0.25">
      <c r="A88" t="s">
        <v>28</v>
      </c>
      <c r="B88" t="s">
        <v>29</v>
      </c>
      <c r="C88" t="s">
        <v>30</v>
      </c>
      <c r="D88" t="s">
        <v>31</v>
      </c>
      <c r="E88" t="s">
        <v>32</v>
      </c>
      <c r="F88" t="s">
        <v>32</v>
      </c>
      <c r="G88" t="s">
        <v>32</v>
      </c>
      <c r="H88" t="s">
        <v>33</v>
      </c>
      <c r="I88" t="s">
        <v>34</v>
      </c>
      <c r="J88" t="s">
        <v>31</v>
      </c>
      <c r="K88" t="s">
        <v>32</v>
      </c>
      <c r="L88" t="s">
        <v>32</v>
      </c>
      <c r="M88" t="s">
        <v>32</v>
      </c>
      <c r="N88" t="s">
        <v>33</v>
      </c>
      <c r="O88" t="s">
        <v>34</v>
      </c>
      <c r="P88" t="s">
        <v>35</v>
      </c>
      <c r="Q88" t="s">
        <v>32</v>
      </c>
      <c r="R88" t="s">
        <v>32</v>
      </c>
      <c r="S88" t="s">
        <v>36</v>
      </c>
    </row>
    <row r="89" spans="1:21" ht="15" x14ac:dyDescent="0.25">
      <c r="B89" t="s">
        <v>48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9100</v>
      </c>
      <c r="P89" s="3">
        <v>721451782</v>
      </c>
      <c r="Q89" s="3">
        <v>72145178</v>
      </c>
      <c r="R89" s="3">
        <v>79359696</v>
      </c>
      <c r="S89" s="3">
        <v>872956658</v>
      </c>
      <c r="T89">
        <v>100</v>
      </c>
      <c r="U89">
        <v>0</v>
      </c>
    </row>
    <row r="91" spans="1:21" ht="15" x14ac:dyDescent="0.25">
      <c r="B91" t="s">
        <v>101</v>
      </c>
      <c r="C91">
        <v>90</v>
      </c>
      <c r="D91" s="3">
        <v>2623960</v>
      </c>
      <c r="E91" s="3">
        <v>162676</v>
      </c>
      <c r="F91" s="3">
        <v>262364</v>
      </c>
      <c r="G91" s="3">
        <v>3049000</v>
      </c>
      <c r="H91">
        <v>100</v>
      </c>
      <c r="I91">
        <v>90</v>
      </c>
      <c r="J91" s="3">
        <v>2623960</v>
      </c>
      <c r="K91" s="3">
        <v>162676</v>
      </c>
      <c r="L91" s="3">
        <v>262364</v>
      </c>
      <c r="M91" s="3">
        <v>3049000</v>
      </c>
      <c r="N91">
        <v>100</v>
      </c>
      <c r="O91">
        <v>72439</v>
      </c>
      <c r="P91" s="3">
        <v>4883760205</v>
      </c>
      <c r="Q91" s="3">
        <v>399330605</v>
      </c>
      <c r="R91" s="3">
        <v>521129828</v>
      </c>
      <c r="S91" s="3">
        <v>5804220706</v>
      </c>
      <c r="T91">
        <v>100</v>
      </c>
      <c r="U91">
        <v>0</v>
      </c>
    </row>
    <row r="92" spans="1:21" ht="15" x14ac:dyDescent="0.25">
      <c r="A92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6012-6CAC-4554-A5AF-20AC0DA4EB75}">
  <dimension ref="A4:G10"/>
  <sheetViews>
    <sheetView tabSelected="1" workbookViewId="0">
      <selection activeCell="B10" sqref="B10:F10"/>
    </sheetView>
  </sheetViews>
  <sheetFormatPr defaultRowHeight="15" x14ac:dyDescent="0.25"/>
  <cols>
    <col min="1" max="1" width="27.140625" bestFit="1" customWidth="1"/>
    <col min="2" max="2" width="9.140625" style="4"/>
    <col min="3" max="3" width="17.7109375" style="4" bestFit="1" customWidth="1"/>
    <col min="4" max="6" width="16.85546875" style="4" bestFit="1" customWidth="1"/>
  </cols>
  <sheetData>
    <row r="4" spans="1:7" x14ac:dyDescent="0.25"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</row>
    <row r="5" spans="1:7" x14ac:dyDescent="0.25">
      <c r="A5" t="s">
        <v>103</v>
      </c>
      <c r="B5" s="4" t="s">
        <v>30</v>
      </c>
      <c r="C5" s="4" t="s">
        <v>31</v>
      </c>
      <c r="D5" s="4" t="s">
        <v>32</v>
      </c>
      <c r="E5" s="4" t="s">
        <v>32</v>
      </c>
      <c r="F5" s="4" t="s">
        <v>32</v>
      </c>
    </row>
    <row r="7" spans="1:7" x14ac:dyDescent="0.25">
      <c r="A7" t="s">
        <v>104</v>
      </c>
      <c r="B7" s="4">
        <f>+'TO 010926'!C11-Sheet1!B8</f>
        <v>1</v>
      </c>
      <c r="C7" s="4">
        <f>+'TO 010926'!D11-Sheet1!C8</f>
        <v>628099</v>
      </c>
      <c r="D7" s="4">
        <f>+'TO 010926'!E11-Sheet1!D8</f>
        <v>62810</v>
      </c>
      <c r="E7" s="4">
        <f>+'TO 010926'!F11-Sheet1!E8</f>
        <v>69091</v>
      </c>
      <c r="F7" s="4">
        <f>+'TO 010926'!G11-Sheet1!F8</f>
        <v>760000</v>
      </c>
    </row>
    <row r="8" spans="1:7" x14ac:dyDescent="0.25">
      <c r="A8" t="s">
        <v>105</v>
      </c>
      <c r="B8" s="4">
        <v>0</v>
      </c>
      <c r="C8" s="4">
        <f>+F8/1.21</f>
        <v>0</v>
      </c>
      <c r="D8" s="4">
        <f>+C8*10%</f>
        <v>0</v>
      </c>
      <c r="E8" s="4">
        <f>+(C8+D8)*0.1</f>
        <v>0</v>
      </c>
      <c r="F8" s="4">
        <v>0</v>
      </c>
    </row>
    <row r="9" spans="1:7" x14ac:dyDescent="0.25">
      <c r="B9" s="5">
        <f>SUM(B7:B8)</f>
        <v>1</v>
      </c>
      <c r="C9" s="5">
        <f>SUM(C7:C8)</f>
        <v>628099</v>
      </c>
      <c r="D9" s="5">
        <f>SUM(D7:D8)</f>
        <v>62810</v>
      </c>
      <c r="E9" s="5">
        <f>SUM(E7:E8)</f>
        <v>69091</v>
      </c>
      <c r="F9" s="5">
        <f>SUM(F7:F8)</f>
        <v>760000</v>
      </c>
    </row>
    <row r="10" spans="1:7" x14ac:dyDescent="0.25">
      <c r="B10" s="4">
        <f>+B9-'TO 010926'!C11</f>
        <v>0</v>
      </c>
      <c r="C10" s="4">
        <f>+C9-'TO 010926'!D11</f>
        <v>0</v>
      </c>
      <c r="D10" s="4">
        <f>+D9-'TO 010926'!E11</f>
        <v>0</v>
      </c>
      <c r="E10" s="4">
        <f>+E9-'TO 010926'!F11</f>
        <v>0</v>
      </c>
      <c r="F10" s="4">
        <f>+F9-'TO 010926'!G11</f>
        <v>0</v>
      </c>
      <c r="G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 010926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ACC-FIRDA</dc:creator>
  <cp:lastModifiedBy>ACC-FIRDA</cp:lastModifiedBy>
  <dcterms:created xsi:type="dcterms:W3CDTF">2026-09-05T02:04:54Z</dcterms:created>
  <dcterms:modified xsi:type="dcterms:W3CDTF">2026-09-05T02:06:58Z</dcterms:modified>
</cp:coreProperties>
</file>